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1DD6F56E-4976-4057-B007-5509BF1CBD6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26" i="1" l="1"/>
  <c r="B26" i="1"/>
  <c r="H25" i="1"/>
  <c r="C25" i="1"/>
  <c r="H24" i="1"/>
  <c r="C24" i="1"/>
  <c r="H23" i="1"/>
  <c r="C23" i="1"/>
  <c r="H22" i="1"/>
  <c r="C22" i="1"/>
  <c r="B10" i="1"/>
  <c r="I9" i="1"/>
  <c r="I10" i="1" s="1"/>
  <c r="H9" i="1"/>
  <c r="H10" i="1" s="1"/>
  <c r="G9" i="1"/>
  <c r="G10" i="1" s="1"/>
  <c r="F9" i="1"/>
  <c r="F10" i="1" s="1"/>
  <c r="E9" i="1"/>
  <c r="E10" i="1" s="1"/>
  <c r="D9" i="1"/>
  <c r="D10" i="1" s="1"/>
  <c r="C9" i="1"/>
  <c r="C10" i="1" s="1"/>
  <c r="B28" i="1" l="1"/>
  <c r="C26" i="1"/>
  <c r="C28" i="1" s="1"/>
  <c r="G28" i="1"/>
  <c r="H26" i="1"/>
  <c r="H28" i="1" s="1"/>
</calcChain>
</file>

<file path=xl/sharedStrings.xml><?xml version="1.0" encoding="utf-8"?>
<sst xmlns="http://schemas.openxmlformats.org/spreadsheetml/2006/main" count="97" uniqueCount="57">
  <si>
    <t>all volumes in μL</t>
  </si>
  <si>
    <t>Step 1 – set up PCR efficiency test</t>
  </si>
  <si>
    <t>Dilution of Anabaena  for PCR efficiency test</t>
  </si>
  <si>
    <t>starting concentration = 20 ng/μL DNA</t>
  </si>
  <si>
    <t>concentration × starting:</t>
  </si>
  <si>
    <t xml:space="preserve"> ×1</t>
  </si>
  <si>
    <t>×0.64</t>
  </si>
  <si>
    <t>×0.32</t>
  </si>
  <si>
    <t>×0.016</t>
  </si>
  <si>
    <t>×0.08</t>
  </si>
  <si>
    <t>×0.04</t>
  </si>
  <si>
    <t>×0.02</t>
  </si>
  <si>
    <t>×0.01</t>
  </si>
  <si>
    <t>Volume of previous dilution (μL)</t>
  </si>
  <si>
    <r>
      <rPr>
        <sz val="10"/>
        <rFont val="Arial"/>
        <family val="2"/>
      </rPr>
      <t>Add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 (μL)</t>
    </r>
  </si>
  <si>
    <t>New volume</t>
  </si>
  <si>
    <t>Step 2 – set up Mastermix</t>
  </si>
  <si>
    <t>Primers:</t>
  </si>
  <si>
    <t>conc (μM)</t>
  </si>
  <si>
    <t>annealing Temp (°C)</t>
  </si>
  <si>
    <t xml:space="preserve">Bacterial 16s </t>
  </si>
  <si>
    <t xml:space="preserve"> Ba519f / Ba907r </t>
  </si>
  <si>
    <t xml:space="preserve">Cyanobacterial 16S </t>
  </si>
  <si>
    <t xml:space="preserve"> CYA359f / CYA781r (Nübel 1997)</t>
  </si>
  <si>
    <t xml:space="preserve">Cyanobacterial NifH </t>
  </si>
  <si>
    <t xml:space="preserve"> CNF / CNR (Olson 1998)</t>
  </si>
  <si>
    <t>Bacterial 16s recipe</t>
  </si>
  <si>
    <t>Cyanobacterial 16S and NifH recipe</t>
  </si>
  <si>
    <t>1 rxn (20 μL)</t>
  </si>
  <si>
    <t>85 rxn + 10%</t>
  </si>
  <si>
    <t>Takyon mix (2×)</t>
  </si>
  <si>
    <t>BSA (20 μg/μL)</t>
  </si>
  <si>
    <t>Primer forward (50 μM)*</t>
  </si>
  <si>
    <t>Primer forward (10 μM)*</t>
  </si>
  <si>
    <t>Primer reverse  (50 μM)*</t>
  </si>
  <si>
    <t>Primer reverse  (10 μM)*</t>
  </si>
  <si>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</si>
  <si>
    <t>Template</t>
  </si>
  <si>
    <t>Total volume</t>
  </si>
  <si>
    <t>Step 2 – set up run</t>
  </si>
  <si>
    <t>Bacterial 16s PCR Protocol</t>
  </si>
  <si>
    <t>Cyanobacterial 16S  Protocol</t>
  </si>
  <si>
    <t xml:space="preserve">time </t>
  </si>
  <si>
    <t>cycles</t>
  </si>
  <si>
    <t>95 °C</t>
  </si>
  <si>
    <t>3 min</t>
  </si>
  <si>
    <t>1×</t>
  </si>
  <si>
    <t>30 sec</t>
  </si>
  <si>
    <t>40×</t>
  </si>
  <si>
    <t xml:space="preserve">52 °C </t>
  </si>
  <si>
    <t xml:space="preserve">60 °C </t>
  </si>
  <si>
    <t xml:space="preserve">72°C </t>
  </si>
  <si>
    <t xml:space="preserve">95°C </t>
  </si>
  <si>
    <t>1 min</t>
  </si>
  <si>
    <t>(Plus melting curve)</t>
  </si>
  <si>
    <t>Cyanobacterial NifH PCR Protocol</t>
  </si>
  <si>
    <t xml:space="preserve">50 °C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</si>
</sst>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vertAlign val="sub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CCCCCC"/>
        <bgColor rgb="FFCCCCFF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topLeftCell="A15" zoomScaleNormal="100" workbookViewId="0">
      <selection activeCell="H43" sqref="H43"/>
    </sheetView>
  </sheetViews>
  <sheetFormatPr defaultColWidth="11.5703125" defaultRowHeight="12.75"/>
  <cols>
    <col min="1" max="1" width="26.42578125" customWidth="1"/>
  </cols>
  <sheetData>
    <row r="1" spans="1:9">
      <c r="A1" t="s">
        <v>0</v>
      </c>
    </row>
    <row r="3" spans="1:9">
      <c r="A3" t="s">
        <v>1</v>
      </c>
    </row>
    <row r="4" spans="1:9">
      <c r="B4" t="s">
        <v>2</v>
      </c>
    </row>
    <row r="5" spans="1:9">
      <c r="B5" t="s">
        <v>3</v>
      </c>
    </row>
    <row r="7" spans="1:9">
      <c r="A7" s="1" t="s">
        <v>4</v>
      </c>
      <c r="B7" s="2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9">
      <c r="A8" s="1" t="s">
        <v>13</v>
      </c>
      <c r="B8" s="4">
        <v>30</v>
      </c>
      <c r="C8" s="4">
        <v>15</v>
      </c>
      <c r="D8" s="4">
        <v>12.5</v>
      </c>
      <c r="E8" s="4">
        <v>12.5</v>
      </c>
      <c r="F8" s="4">
        <v>12.5</v>
      </c>
      <c r="G8" s="4">
        <v>12.5</v>
      </c>
      <c r="H8" s="4">
        <v>12.5</v>
      </c>
      <c r="I8" s="4">
        <v>12.5</v>
      </c>
    </row>
    <row r="9" spans="1:9" ht="14.85">
      <c r="A9" s="1" t="s">
        <v>14</v>
      </c>
      <c r="B9" s="5">
        <v>0</v>
      </c>
      <c r="C9" s="5">
        <f>25-C8</f>
        <v>10</v>
      </c>
      <c r="D9" s="5">
        <f>25-D8</f>
        <v>12.5</v>
      </c>
      <c r="E9" s="5">
        <f>25-E8</f>
        <v>12.5</v>
      </c>
      <c r="F9" s="5">
        <f>25-F8</f>
        <v>12.5</v>
      </c>
      <c r="G9" s="5">
        <f>25-G8</f>
        <v>12.5</v>
      </c>
      <c r="H9" s="5">
        <f>25-H8</f>
        <v>12.5</v>
      </c>
      <c r="I9" s="5">
        <f>25-I8</f>
        <v>12.5</v>
      </c>
    </row>
    <row r="10" spans="1:9">
      <c r="A10" s="1" t="s">
        <v>15</v>
      </c>
      <c r="B10" s="4">
        <f>B8+B9</f>
        <v>30</v>
      </c>
      <c r="C10" s="4">
        <f>C8+C9</f>
        <v>25</v>
      </c>
      <c r="D10" s="4">
        <f>D8+D9</f>
        <v>25</v>
      </c>
      <c r="E10" s="4">
        <f>E8+E9</f>
        <v>25</v>
      </c>
      <c r="F10" s="4">
        <f>F8+F9</f>
        <v>25</v>
      </c>
      <c r="G10" s="4">
        <f>G8+G9</f>
        <v>25</v>
      </c>
      <c r="H10" s="4">
        <f>H8+H9</f>
        <v>25</v>
      </c>
      <c r="I10" s="4">
        <f>I8+I9</f>
        <v>25</v>
      </c>
    </row>
    <row r="12" spans="1:9">
      <c r="A12" t="s">
        <v>16</v>
      </c>
    </row>
    <row r="14" spans="1:9">
      <c r="A14" t="s">
        <v>17</v>
      </c>
      <c r="B14" s="17"/>
      <c r="C14" s="17"/>
      <c r="D14" s="17"/>
      <c r="E14" s="3" t="s">
        <v>18</v>
      </c>
      <c r="F14" t="s">
        <v>19</v>
      </c>
    </row>
    <row r="15" spans="1:9">
      <c r="A15" s="6" t="s">
        <v>20</v>
      </c>
      <c r="B15" s="17" t="s">
        <v>21</v>
      </c>
      <c r="C15" s="17"/>
      <c r="D15" s="17"/>
      <c r="E15" s="3">
        <v>100</v>
      </c>
      <c r="F15">
        <v>52</v>
      </c>
    </row>
    <row r="16" spans="1:9">
      <c r="A16" s="6" t="s">
        <v>22</v>
      </c>
      <c r="B16" s="17" t="s">
        <v>23</v>
      </c>
      <c r="C16" s="17"/>
      <c r="D16" s="17"/>
      <c r="E16" s="3">
        <v>10</v>
      </c>
      <c r="F16">
        <v>60</v>
      </c>
    </row>
    <row r="17" spans="1:8">
      <c r="A17" s="6" t="s">
        <v>24</v>
      </c>
      <c r="B17" s="17" t="s">
        <v>25</v>
      </c>
      <c r="C17" s="17"/>
      <c r="D17" s="17"/>
      <c r="E17" s="3">
        <v>10</v>
      </c>
      <c r="F17">
        <v>50</v>
      </c>
    </row>
    <row r="20" spans="1:8">
      <c r="A20" t="s">
        <v>26</v>
      </c>
      <c r="E20" t="s">
        <v>27</v>
      </c>
    </row>
    <row r="21" spans="1:8">
      <c r="B21" s="7" t="s">
        <v>28</v>
      </c>
      <c r="C21" s="8" t="s">
        <v>29</v>
      </c>
      <c r="E21" s="17"/>
      <c r="F21" s="17"/>
      <c r="G21" s="7" t="s">
        <v>28</v>
      </c>
      <c r="H21" s="8" t="s">
        <v>29</v>
      </c>
    </row>
    <row r="22" spans="1:8">
      <c r="A22" s="7" t="s">
        <v>30</v>
      </c>
      <c r="B22" s="4">
        <v>10</v>
      </c>
      <c r="C22" s="4">
        <f>B22*1.1*85</f>
        <v>935</v>
      </c>
      <c r="E22" s="18" t="s">
        <v>30</v>
      </c>
      <c r="F22" s="18"/>
      <c r="G22" s="4">
        <v>10</v>
      </c>
      <c r="H22" s="4">
        <f>G22*1.1*85</f>
        <v>935</v>
      </c>
    </row>
    <row r="23" spans="1:8">
      <c r="A23" s="7" t="s">
        <v>31</v>
      </c>
      <c r="B23" s="4">
        <v>0.2</v>
      </c>
      <c r="C23" s="4">
        <f>B23*1.1*85</f>
        <v>18.700000000000003</v>
      </c>
      <c r="E23" s="18" t="s">
        <v>31</v>
      </c>
      <c r="F23" s="18"/>
      <c r="G23" s="4">
        <v>0.2</v>
      </c>
      <c r="H23" s="4">
        <f>G23*1.1*85</f>
        <v>18.700000000000003</v>
      </c>
    </row>
    <row r="24" spans="1:8">
      <c r="A24" s="7" t="s">
        <v>32</v>
      </c>
      <c r="B24" s="4">
        <v>0.05</v>
      </c>
      <c r="C24" s="4">
        <f>B24*1.1*85</f>
        <v>4.6750000000000007</v>
      </c>
      <c r="E24" s="18" t="s">
        <v>33</v>
      </c>
      <c r="F24" s="18"/>
      <c r="G24" s="4">
        <v>0.5</v>
      </c>
      <c r="H24" s="4">
        <f>G24*1.1*85</f>
        <v>46.750000000000007</v>
      </c>
    </row>
    <row r="25" spans="1:8">
      <c r="A25" s="7" t="s">
        <v>34</v>
      </c>
      <c r="B25" s="4">
        <v>0.05</v>
      </c>
      <c r="C25" s="4">
        <f>B25*1.1*85</f>
        <v>4.6750000000000007</v>
      </c>
      <c r="E25" s="18" t="s">
        <v>35</v>
      </c>
      <c r="F25" s="18"/>
      <c r="G25" s="4">
        <v>0.5</v>
      </c>
      <c r="H25" s="4">
        <f>G25*1.1*85</f>
        <v>46.750000000000007</v>
      </c>
    </row>
    <row r="26" spans="1:8" ht="14.85">
      <c r="A26" s="7" t="s">
        <v>36</v>
      </c>
      <c r="B26" s="4">
        <f>20 - (B27+B25+B24+B23+B22)</f>
        <v>7.6999999999999993</v>
      </c>
      <c r="C26" s="4">
        <f>B26*1.1*85</f>
        <v>719.95</v>
      </c>
      <c r="E26" s="18" t="s">
        <v>36</v>
      </c>
      <c r="F26" s="18"/>
      <c r="G26" s="4">
        <f>20 - (G27+G25+G24+G23+G22)</f>
        <v>6.8000000000000007</v>
      </c>
      <c r="H26" s="4">
        <f>G26*1.1*85</f>
        <v>635.80000000000007</v>
      </c>
    </row>
    <row r="27" spans="1:8">
      <c r="A27" s="7" t="s">
        <v>37</v>
      </c>
      <c r="B27" s="4">
        <v>2</v>
      </c>
      <c r="C27" s="4"/>
      <c r="E27" s="18" t="s">
        <v>37</v>
      </c>
      <c r="F27" s="18"/>
      <c r="G27" s="4">
        <v>2</v>
      </c>
      <c r="H27" s="4"/>
    </row>
    <row r="28" spans="1:8">
      <c r="A28" s="7" t="s">
        <v>38</v>
      </c>
      <c r="B28" s="4">
        <f>SUM(B22:B27)</f>
        <v>20</v>
      </c>
      <c r="C28" s="4">
        <f>SUM(C22:C26)</f>
        <v>1683</v>
      </c>
      <c r="E28" s="18" t="s">
        <v>38</v>
      </c>
      <c r="F28" s="18"/>
      <c r="G28" s="4">
        <f>SUM(G22:G27)</f>
        <v>20</v>
      </c>
      <c r="H28" s="4">
        <f>SUM(H22:H26)</f>
        <v>1683</v>
      </c>
    </row>
    <row r="30" spans="1:8">
      <c r="A30" t="s">
        <v>39</v>
      </c>
    </row>
    <row r="31" spans="1:8">
      <c r="B31" t="s">
        <v>40</v>
      </c>
      <c r="E31" t="s">
        <v>41</v>
      </c>
    </row>
    <row r="32" spans="1:8">
      <c r="A32" s="9" t="s">
        <v>40</v>
      </c>
      <c r="B32" s="9" t="s">
        <v>42</v>
      </c>
      <c r="C32" s="10" t="s">
        <v>43</v>
      </c>
      <c r="E32" s="9"/>
      <c r="F32" s="9" t="s">
        <v>42</v>
      </c>
      <c r="G32" s="10" t="s">
        <v>43</v>
      </c>
    </row>
    <row r="33" spans="1:7">
      <c r="A33" s="11" t="s">
        <v>44</v>
      </c>
      <c r="B33" s="11" t="s">
        <v>45</v>
      </c>
      <c r="C33" s="12" t="s">
        <v>46</v>
      </c>
      <c r="E33" s="11" t="s">
        <v>44</v>
      </c>
      <c r="F33" s="11" t="s">
        <v>45</v>
      </c>
      <c r="G33" s="12" t="s">
        <v>46</v>
      </c>
    </row>
    <row r="34" spans="1:7">
      <c r="A34" s="13" t="s">
        <v>44</v>
      </c>
      <c r="B34" s="13" t="s">
        <v>47</v>
      </c>
      <c r="C34" s="16" t="s">
        <v>48</v>
      </c>
      <c r="E34" s="13" t="s">
        <v>44</v>
      </c>
      <c r="F34" s="13" t="s">
        <v>47</v>
      </c>
      <c r="G34" s="16" t="s">
        <v>48</v>
      </c>
    </row>
    <row r="35" spans="1:7">
      <c r="A35" t="s">
        <v>49</v>
      </c>
      <c r="B35" t="s">
        <v>47</v>
      </c>
      <c r="C35" s="16"/>
      <c r="E35" t="s">
        <v>50</v>
      </c>
      <c r="F35" t="s">
        <v>47</v>
      </c>
      <c r="G35" s="16"/>
    </row>
    <row r="36" spans="1:7">
      <c r="A36" s="14" t="s">
        <v>51</v>
      </c>
      <c r="B36" s="14" t="s">
        <v>47</v>
      </c>
      <c r="C36" s="16"/>
      <c r="E36" s="14" t="s">
        <v>51</v>
      </c>
      <c r="F36" s="15">
        <v>0</v>
      </c>
      <c r="G36" s="16"/>
    </row>
    <row r="37" spans="1:7">
      <c r="A37" t="s">
        <v>52</v>
      </c>
      <c r="B37" t="s">
        <v>53</v>
      </c>
      <c r="C37" s="3" t="s">
        <v>46</v>
      </c>
      <c r="E37" t="s">
        <v>52</v>
      </c>
      <c r="F37" t="s">
        <v>53</v>
      </c>
      <c r="G37" s="3" t="s">
        <v>46</v>
      </c>
    </row>
    <row r="38" spans="1:7">
      <c r="A38" t="s">
        <v>54</v>
      </c>
      <c r="E38" t="s">
        <v>54</v>
      </c>
    </row>
    <row r="41" spans="1:7">
      <c r="C41" t="s">
        <v>55</v>
      </c>
    </row>
    <row r="42" spans="1:7">
      <c r="C42" s="9"/>
      <c r="D42" s="9" t="s">
        <v>42</v>
      </c>
      <c r="E42" s="10" t="s">
        <v>43</v>
      </c>
    </row>
    <row r="43" spans="1:7">
      <c r="C43" s="11" t="s">
        <v>44</v>
      </c>
      <c r="D43" s="11" t="s">
        <v>45</v>
      </c>
      <c r="E43" s="12" t="s">
        <v>46</v>
      </c>
    </row>
    <row r="44" spans="1:7">
      <c r="C44" s="13" t="s">
        <v>44</v>
      </c>
      <c r="D44" s="13" t="s">
        <v>47</v>
      </c>
      <c r="E44" s="16" t="s">
        <v>48</v>
      </c>
    </row>
    <row r="45" spans="1:7">
      <c r="C45" t="s">
        <v>56</v>
      </c>
      <c r="D45" t="s">
        <v>47</v>
      </c>
      <c r="E45" s="16"/>
    </row>
    <row r="46" spans="1:7">
      <c r="C46" s="14" t="s">
        <v>51</v>
      </c>
      <c r="D46" s="15">
        <v>0</v>
      </c>
      <c r="E46" s="16"/>
    </row>
    <row r="47" spans="1:7">
      <c r="C47" t="s">
        <v>52</v>
      </c>
      <c r="D47" t="s">
        <v>53</v>
      </c>
      <c r="E47" s="3" t="s">
        <v>46</v>
      </c>
    </row>
    <row r="48" spans="1:7">
      <c r="C48" t="s">
        <v>54</v>
      </c>
    </row>
  </sheetData>
  <mergeCells count="15">
    <mergeCell ref="B14:D14"/>
    <mergeCell ref="B15:D15"/>
    <mergeCell ref="B16:D16"/>
    <mergeCell ref="B17:D17"/>
    <mergeCell ref="E21:F21"/>
    <mergeCell ref="E22:F22"/>
    <mergeCell ref="E23:F23"/>
    <mergeCell ref="E24:F24"/>
    <mergeCell ref="E25:F25"/>
    <mergeCell ref="E26:F26"/>
    <mergeCell ref="E27:F27"/>
    <mergeCell ref="E28:F28"/>
    <mergeCell ref="C34:C36"/>
    <mergeCell ref="G34:G36"/>
    <mergeCell ref="E44:E46"/>
  </mergeCells>
  <pageMargins left="0.78749999999999998" right="0.78749999999999998" top="1.05277777777778" bottom="1.05416666666667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10</cp:revision>
  <dcterms:created xsi:type="dcterms:W3CDTF">2026-04-20T17:07:50Z</dcterms:created>
  <dcterms:modified xsi:type="dcterms:W3CDTF">2026-04-22T08:38:57Z</dcterms:modified>
  <cp:category/>
  <cp:contentStatus/>
</cp:coreProperties>
</file>